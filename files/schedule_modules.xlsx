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ssicacooperstone/git/rdataviz/files/"/>
    </mc:Choice>
  </mc:AlternateContent>
  <xr:revisionPtr revIDLastSave="0" documentId="13_ncr:1_{65A3D25D-F80A-7944-8335-08D44F2380BA}" xr6:coauthVersionLast="47" xr6:coauthVersionMax="47" xr10:uidLastSave="{00000000-0000-0000-0000-000000000000}"/>
  <bookViews>
    <workbookView xWindow="17480" yWindow="2380" windowWidth="28800" windowHeight="16360" activeTab="2" xr2:uid="{21EBE61F-A4F0-3D45-865A-9EB87E85AA6A}"/>
  </bookViews>
  <sheets>
    <sheet name="Schedule" sheetId="2" r:id="rId1"/>
    <sheet name="Schedule_date_2026" sheetId="9" r:id="rId2"/>
    <sheet name="module_due_dates_2026" sheetId="10" r:id="rId3"/>
    <sheet name="Schedule_date_2025" sheetId="7" r:id="rId4"/>
    <sheet name="module_due_dates_2025" sheetId="8" r:id="rId5"/>
    <sheet name="Schedule_date_2024" sheetId="5" r:id="rId6"/>
    <sheet name="module_due_dates_2024" sheetId="6" r:id="rId7"/>
    <sheet name="Schedule_date_2023" sheetId="3" r:id="rId8"/>
    <sheet name="module_due_dates_2023" sheetId="4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0" l="1"/>
  <c r="B9" i="10"/>
  <c r="B7" i="10"/>
  <c r="B6" i="10"/>
  <c r="B5" i="10"/>
  <c r="B4" i="10"/>
</calcChain>
</file>

<file path=xl/sharedStrings.xml><?xml version="1.0" encoding="utf-8"?>
<sst xmlns="http://schemas.openxmlformats.org/spreadsheetml/2006/main" count="239" uniqueCount="67">
  <si>
    <t>Principles of data visualization</t>
  </si>
  <si>
    <t>Good and bad visualizations</t>
  </si>
  <si>
    <t>R Markdown for reproducible research</t>
  </si>
  <si>
    <t>Data distributions</t>
  </si>
  <si>
    <t>Correlations</t>
  </si>
  <si>
    <t>Annotating statistics</t>
  </si>
  <si>
    <t>Principal components analysis</t>
  </si>
  <si>
    <t>Interactive plots</t>
  </si>
  <si>
    <t>Capstone assignment open session</t>
  </si>
  <si>
    <t>Week</t>
  </si>
  <si>
    <t>Date</t>
  </si>
  <si>
    <t>Module</t>
  </si>
  <si>
    <t>1: Principles</t>
  </si>
  <si>
    <t>3: Data exploration</t>
  </si>
  <si>
    <t>4: Putting it together</t>
  </si>
  <si>
    <t>Topic</t>
  </si>
  <si>
    <t>2: Coding fundamentals</t>
  </si>
  <si>
    <t>ggplot 101</t>
  </si>
  <si>
    <t>Themes, labels, facets (ggplot 102)</t>
  </si>
  <si>
    <t>Open session, capstone prep</t>
  </si>
  <si>
    <t>Manhattan plots and making lots of plots at once</t>
  </si>
  <si>
    <t>ggplot extension packages and complexheatmap</t>
  </si>
  <si>
    <t>No class, Thanksgiving</t>
  </si>
  <si>
    <t>Relaxing and eating</t>
  </si>
  <si>
    <t>Wrangling, the basics</t>
  </si>
  <si>
    <t>Due Date</t>
  </si>
  <si>
    <t>Assignment</t>
  </si>
  <si>
    <t>Module 1: Good and bad visualizations</t>
  </si>
  <si>
    <t>Module 2: Coding Fundamentals</t>
  </si>
  <si>
    <t>Module 3: Data Exploration</t>
  </si>
  <si>
    <t>Module 4: Putting it together</t>
  </si>
  <si>
    <t>Capstone plan</t>
  </si>
  <si>
    <t>Capstone</t>
  </si>
  <si>
    <t>Reflections</t>
  </si>
  <si>
    <t>1 week after each class</t>
  </si>
  <si>
    <t>Monday, August 26, 2024</t>
  </si>
  <si>
    <t>Tuesday, October 1, 2024</t>
  </si>
  <si>
    <t>Tuesday, December 3, 2024</t>
  </si>
  <si>
    <t>Tuesday, November 5, 2024</t>
  </si>
  <si>
    <t>Friday, December 6, 2024</t>
  </si>
  <si>
    <t>Tuesday, October 29, 2024</t>
  </si>
  <si>
    <t>Monday, September 1, 2025</t>
  </si>
  <si>
    <t>Recitations</t>
  </si>
  <si>
    <t>Sunday after each class</t>
  </si>
  <si>
    <t>Tuesday, October 7, 2025</t>
  </si>
  <si>
    <t>Tuesday, November 4, 2025</t>
  </si>
  <si>
    <t>Tuesday, October 28, 2025</t>
  </si>
  <si>
    <t>ggplot extension packages</t>
  </si>
  <si>
    <t>Tuesday, December 9, 2025</t>
  </si>
  <si>
    <t>Friday, December 12, 2025</t>
  </si>
  <si>
    <t>No class, Veterans Day</t>
  </si>
  <si>
    <t>--</t>
  </si>
  <si>
    <t>4: Putting it together (asynchronous)</t>
  </si>
  <si>
    <t>Capstone prep</t>
  </si>
  <si>
    <t>Capstone plan prep, open session</t>
  </si>
  <si>
    <t>Capstone assignment, open session</t>
  </si>
  <si>
    <t>Manhattan plots and making lots of plots at once (asynchronous)</t>
  </si>
  <si>
    <t>Principles of data visualization 1</t>
  </si>
  <si>
    <t>Principles of data visualization 2</t>
  </si>
  <si>
    <t>ggplot extension packages (asynchronous)</t>
  </si>
  <si>
    <t>Monday, September 7, 2026</t>
  </si>
  <si>
    <t>Tuesday, October 13, 2026</t>
  </si>
  <si>
    <t>Tuesday, November 3, 2026</t>
  </si>
  <si>
    <t>Tuesday, December 8, 2026</t>
  </si>
  <si>
    <t>Sunday, December 13, 2026</t>
  </si>
  <si>
    <t>due_date_paste</t>
  </si>
  <si>
    <t>Tuesday, November 17,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</si>
</sst>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 d\,\ yyyy;@"/>
    <numFmt numFmtId="165" formatCode="[$-F800]dddd\,\ mmmm\ dd\,\ yyyy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5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0" fillId="0" borderId="0" xfId="0" quotePrefix="1"/>
    <xf numFmtId="165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42C0D-B564-AC4C-B9F2-1430BA1BF96D}">
  <dimension ref="A1:C17"/>
  <sheetViews>
    <sheetView workbookViewId="0">
      <selection activeCell="B28" sqref="B28"/>
    </sheetView>
  </sheetViews>
  <sheetFormatPr baseColWidth="10" defaultRowHeight="16" x14ac:dyDescent="0.2"/>
  <cols>
    <col min="2" max="2" width="24.83203125" bestFit="1" customWidth="1"/>
  </cols>
  <sheetData>
    <row r="1" spans="1:3" x14ac:dyDescent="0.2">
      <c r="A1" t="s">
        <v>9</v>
      </c>
      <c r="B1" t="s">
        <v>11</v>
      </c>
      <c r="C1" t="s">
        <v>15</v>
      </c>
    </row>
    <row r="2" spans="1:3" x14ac:dyDescent="0.2">
      <c r="A2">
        <v>1</v>
      </c>
      <c r="B2" t="s">
        <v>12</v>
      </c>
      <c r="C2" t="s">
        <v>0</v>
      </c>
    </row>
    <row r="3" spans="1:3" x14ac:dyDescent="0.2">
      <c r="A3">
        <v>2</v>
      </c>
      <c r="B3" t="s">
        <v>12</v>
      </c>
      <c r="C3" t="s">
        <v>1</v>
      </c>
    </row>
    <row r="4" spans="1:3" x14ac:dyDescent="0.2">
      <c r="A4">
        <v>3</v>
      </c>
      <c r="B4" t="s">
        <v>16</v>
      </c>
      <c r="C4" t="s">
        <v>2</v>
      </c>
    </row>
    <row r="5" spans="1:3" x14ac:dyDescent="0.2">
      <c r="A5">
        <v>4</v>
      </c>
      <c r="B5" t="s">
        <v>16</v>
      </c>
      <c r="C5" t="s">
        <v>24</v>
      </c>
    </row>
    <row r="6" spans="1:3" x14ac:dyDescent="0.2">
      <c r="A6">
        <v>5</v>
      </c>
      <c r="B6" t="s">
        <v>16</v>
      </c>
      <c r="C6" t="s">
        <v>17</v>
      </c>
    </row>
    <row r="7" spans="1:3" x14ac:dyDescent="0.2">
      <c r="A7">
        <v>6</v>
      </c>
      <c r="B7" t="s">
        <v>16</v>
      </c>
      <c r="C7" t="s">
        <v>18</v>
      </c>
    </row>
    <row r="8" spans="1:3" x14ac:dyDescent="0.2">
      <c r="A8">
        <v>7</v>
      </c>
      <c r="B8" t="s">
        <v>13</v>
      </c>
      <c r="C8" t="s">
        <v>3</v>
      </c>
    </row>
    <row r="9" spans="1:3" x14ac:dyDescent="0.2">
      <c r="A9">
        <v>8</v>
      </c>
      <c r="B9" t="s">
        <v>13</v>
      </c>
      <c r="C9" t="s">
        <v>4</v>
      </c>
    </row>
    <row r="10" spans="1:3" x14ac:dyDescent="0.2">
      <c r="A10">
        <v>9</v>
      </c>
      <c r="B10" t="s">
        <v>19</v>
      </c>
      <c r="C10" t="s">
        <v>19</v>
      </c>
    </row>
    <row r="11" spans="1:3" x14ac:dyDescent="0.2">
      <c r="A11">
        <v>10</v>
      </c>
      <c r="B11" t="s">
        <v>13</v>
      </c>
      <c r="C11" t="s">
        <v>5</v>
      </c>
    </row>
    <row r="12" spans="1:3" x14ac:dyDescent="0.2">
      <c r="A12">
        <v>11</v>
      </c>
      <c r="B12" t="s">
        <v>14</v>
      </c>
      <c r="C12" t="s">
        <v>6</v>
      </c>
    </row>
    <row r="13" spans="1:3" x14ac:dyDescent="0.2">
      <c r="A13">
        <v>12</v>
      </c>
      <c r="B13" t="s">
        <v>50</v>
      </c>
      <c r="C13" s="4" t="s">
        <v>51</v>
      </c>
    </row>
    <row r="14" spans="1:3" x14ac:dyDescent="0.2">
      <c r="A14">
        <v>13</v>
      </c>
      <c r="B14" t="s">
        <v>14</v>
      </c>
      <c r="C14" t="s">
        <v>7</v>
      </c>
    </row>
    <row r="15" spans="1:3" x14ac:dyDescent="0.2">
      <c r="A15">
        <v>14</v>
      </c>
      <c r="B15" t="s">
        <v>52</v>
      </c>
      <c r="C15" t="s">
        <v>20</v>
      </c>
    </row>
    <row r="16" spans="1:3" x14ac:dyDescent="0.2">
      <c r="A16">
        <v>15</v>
      </c>
      <c r="B16" t="s">
        <v>14</v>
      </c>
      <c r="C16" t="s">
        <v>47</v>
      </c>
    </row>
    <row r="17" spans="1:3" x14ac:dyDescent="0.2">
      <c r="A17">
        <v>16</v>
      </c>
      <c r="B17" t="s">
        <v>14</v>
      </c>
      <c r="C17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EC1E5-6A88-8047-9F93-0FC211E68D53}">
  <dimension ref="A1:H18"/>
  <sheetViews>
    <sheetView zoomScale="150" zoomScaleNormal="150" workbookViewId="0">
      <selection activeCell="C12" sqref="C12:D12"/>
    </sheetView>
  </sheetViews>
  <sheetFormatPr baseColWidth="10" defaultRowHeight="16" x14ac:dyDescent="0.2"/>
  <cols>
    <col min="2" max="2" width="17.83203125" bestFit="1" customWidth="1"/>
    <col min="3" max="3" width="30.83203125" customWidth="1"/>
  </cols>
  <sheetData>
    <row r="1" spans="1:8" x14ac:dyDescent="0.2">
      <c r="A1" t="s">
        <v>9</v>
      </c>
      <c r="B1" t="s">
        <v>10</v>
      </c>
      <c r="C1" t="s">
        <v>11</v>
      </c>
      <c r="D1" t="s">
        <v>15</v>
      </c>
    </row>
    <row r="2" spans="1:8" x14ac:dyDescent="0.2">
      <c r="A2">
        <v>1</v>
      </c>
      <c r="B2" s="3">
        <v>46259</v>
      </c>
      <c r="C2" t="s">
        <v>12</v>
      </c>
      <c r="D2" t="s">
        <v>57</v>
      </c>
      <c r="H2" s="2"/>
    </row>
    <row r="3" spans="1:8" x14ac:dyDescent="0.2">
      <c r="A3">
        <v>2</v>
      </c>
      <c r="B3" s="3">
        <v>46266</v>
      </c>
      <c r="C3" t="s">
        <v>12</v>
      </c>
      <c r="D3" t="s">
        <v>58</v>
      </c>
      <c r="H3" s="2"/>
    </row>
    <row r="4" spans="1:8" x14ac:dyDescent="0.2">
      <c r="A4">
        <v>3</v>
      </c>
      <c r="B4" s="3">
        <v>46273</v>
      </c>
      <c r="C4" t="s">
        <v>12</v>
      </c>
      <c r="D4" t="s">
        <v>1</v>
      </c>
      <c r="H4" s="2"/>
    </row>
    <row r="5" spans="1:8" x14ac:dyDescent="0.2">
      <c r="A5">
        <v>4</v>
      </c>
      <c r="B5" s="3">
        <v>46280</v>
      </c>
      <c r="C5" t="s">
        <v>16</v>
      </c>
      <c r="D5" t="s">
        <v>2</v>
      </c>
      <c r="H5" s="2"/>
    </row>
    <row r="6" spans="1:8" x14ac:dyDescent="0.2">
      <c r="A6">
        <v>5</v>
      </c>
      <c r="B6" s="3">
        <v>46287</v>
      </c>
      <c r="C6" t="s">
        <v>16</v>
      </c>
      <c r="D6" t="s">
        <v>24</v>
      </c>
      <c r="H6" s="2"/>
    </row>
    <row r="7" spans="1:8" x14ac:dyDescent="0.2">
      <c r="A7">
        <v>6</v>
      </c>
      <c r="B7" s="3">
        <v>46294</v>
      </c>
      <c r="C7" t="s">
        <v>16</v>
      </c>
      <c r="D7" t="s">
        <v>17</v>
      </c>
      <c r="H7" s="2"/>
    </row>
    <row r="8" spans="1:8" x14ac:dyDescent="0.2">
      <c r="A8">
        <v>7</v>
      </c>
      <c r="B8" s="3">
        <v>46301</v>
      </c>
      <c r="C8" t="s">
        <v>16</v>
      </c>
      <c r="D8" t="s">
        <v>18</v>
      </c>
      <c r="H8" s="2"/>
    </row>
    <row r="9" spans="1:8" x14ac:dyDescent="0.2">
      <c r="A9">
        <v>8</v>
      </c>
      <c r="B9" s="3">
        <v>46308</v>
      </c>
      <c r="C9" t="s">
        <v>13</v>
      </c>
      <c r="D9" t="s">
        <v>3</v>
      </c>
      <c r="H9" s="2"/>
    </row>
    <row r="10" spans="1:8" x14ac:dyDescent="0.2">
      <c r="A10">
        <v>9</v>
      </c>
      <c r="B10" s="3">
        <v>46315</v>
      </c>
      <c r="C10" t="s">
        <v>13</v>
      </c>
      <c r="D10" t="s">
        <v>4</v>
      </c>
      <c r="H10" s="2"/>
    </row>
    <row r="11" spans="1:8" x14ac:dyDescent="0.2">
      <c r="A11">
        <v>10</v>
      </c>
      <c r="B11" s="3">
        <v>46322</v>
      </c>
      <c r="C11" t="s">
        <v>13</v>
      </c>
      <c r="D11" t="s">
        <v>5</v>
      </c>
      <c r="H11" s="2"/>
    </row>
    <row r="12" spans="1:8" x14ac:dyDescent="0.2">
      <c r="A12">
        <v>11</v>
      </c>
      <c r="B12" s="3">
        <v>46329</v>
      </c>
      <c r="C12" t="s">
        <v>14</v>
      </c>
      <c r="D12" t="s">
        <v>56</v>
      </c>
    </row>
    <row r="13" spans="1:8" x14ac:dyDescent="0.2">
      <c r="A13">
        <v>12</v>
      </c>
      <c r="B13" s="3">
        <v>46336</v>
      </c>
      <c r="C13" t="s">
        <v>53</v>
      </c>
      <c r="D13" t="s">
        <v>54</v>
      </c>
      <c r="H13" s="2"/>
    </row>
    <row r="14" spans="1:8" x14ac:dyDescent="0.2">
      <c r="A14">
        <v>13</v>
      </c>
      <c r="B14" s="3">
        <v>46343</v>
      </c>
      <c r="C14" t="s">
        <v>14</v>
      </c>
      <c r="D14" t="s">
        <v>6</v>
      </c>
      <c r="H14" s="1"/>
    </row>
    <row r="15" spans="1:8" x14ac:dyDescent="0.2">
      <c r="A15">
        <v>14</v>
      </c>
      <c r="B15" s="3">
        <v>46350</v>
      </c>
      <c r="C15" t="s">
        <v>14</v>
      </c>
      <c r="D15" t="s">
        <v>59</v>
      </c>
      <c r="H15" s="2"/>
    </row>
    <row r="16" spans="1:8" x14ac:dyDescent="0.2">
      <c r="A16">
        <v>15</v>
      </c>
      <c r="B16" s="3">
        <v>46357</v>
      </c>
      <c r="C16" t="s">
        <v>14</v>
      </c>
      <c r="D16" t="s">
        <v>7</v>
      </c>
      <c r="H16" s="2"/>
    </row>
    <row r="17" spans="1:8" x14ac:dyDescent="0.2">
      <c r="A17">
        <v>16</v>
      </c>
      <c r="B17" s="3">
        <v>46364</v>
      </c>
      <c r="C17" t="s">
        <v>53</v>
      </c>
      <c r="D17" t="s">
        <v>55</v>
      </c>
      <c r="H17" s="2"/>
    </row>
    <row r="18" spans="1:8" x14ac:dyDescent="0.2">
      <c r="H18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ACCAF-8C8B-E146-ABA1-005F5C4A7B4F}">
  <dimension ref="A1:C9"/>
  <sheetViews>
    <sheetView tabSelected="1" zoomScale="160" zoomScaleNormal="160" workbookViewId="0">
      <selection activeCell="C9" sqref="C9"/>
    </sheetView>
  </sheetViews>
  <sheetFormatPr baseColWidth="10" defaultRowHeight="16" x14ac:dyDescent="0.2"/>
  <cols>
    <col min="1" max="1" width="33.33203125" bestFit="1" customWidth="1"/>
    <col min="2" max="2" width="25.1640625" bestFit="1" customWidth="1"/>
    <col min="3" max="3" width="22.1640625" bestFit="1" customWidth="1"/>
  </cols>
  <sheetData>
    <row r="1" spans="1:3" x14ac:dyDescent="0.2">
      <c r="A1" t="s">
        <v>26</v>
      </c>
      <c r="B1" t="s">
        <v>25</v>
      </c>
      <c r="C1" t="s">
        <v>65</v>
      </c>
    </row>
    <row r="2" spans="1:3" x14ac:dyDescent="0.2">
      <c r="A2" t="s">
        <v>33</v>
      </c>
      <c r="B2" t="s">
        <v>34</v>
      </c>
      <c r="C2" t="s">
        <v>34</v>
      </c>
    </row>
    <row r="3" spans="1:3" x14ac:dyDescent="0.2">
      <c r="A3" t="s">
        <v>42</v>
      </c>
      <c r="B3" t="s">
        <v>43</v>
      </c>
      <c r="C3" t="s">
        <v>43</v>
      </c>
    </row>
    <row r="4" spans="1:3" x14ac:dyDescent="0.2">
      <c r="A4" t="s">
        <v>27</v>
      </c>
      <c r="B4" s="5">
        <f>Schedule_date_2026!B4 + -1</f>
        <v>46272</v>
      </c>
      <c r="C4" t="s">
        <v>60</v>
      </c>
    </row>
    <row r="5" spans="1:3" x14ac:dyDescent="0.2">
      <c r="A5" t="s">
        <v>28</v>
      </c>
      <c r="B5" s="5">
        <f>Schedule_date_2026!B9</f>
        <v>46308</v>
      </c>
      <c r="C5" t="s">
        <v>61</v>
      </c>
    </row>
    <row r="6" spans="1:3" x14ac:dyDescent="0.2">
      <c r="A6" t="s">
        <v>29</v>
      </c>
      <c r="B6" s="5">
        <f>Schedule_date_2026!B12</f>
        <v>46329</v>
      </c>
      <c r="C6" t="s">
        <v>62</v>
      </c>
    </row>
    <row r="7" spans="1:3" x14ac:dyDescent="0.2">
      <c r="A7" t="s">
        <v>30</v>
      </c>
      <c r="B7" s="5">
        <f>Schedule_date_2026!B17</f>
        <v>46364</v>
      </c>
      <c r="C7" t="s">
        <v>63</v>
      </c>
    </row>
    <row r="8" spans="1:3" x14ac:dyDescent="0.2">
      <c r="A8" t="s">
        <v>31</v>
      </c>
      <c r="B8" s="5">
        <f>Schedule_date_2026!B14</f>
        <v>46343</v>
      </c>
      <c r="C8" t="s">
        <v>66</v>
      </c>
    </row>
    <row r="9" spans="1:3" x14ac:dyDescent="0.2">
      <c r="A9" t="s">
        <v>32</v>
      </c>
      <c r="B9" s="5">
        <f>Schedule_date_2026!B17+5</f>
        <v>46369</v>
      </c>
      <c r="C9" t="s">
        <v>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2FBAB-5424-1A47-B52E-30F77FDEB3FC}">
  <dimension ref="A1:G17"/>
  <sheetViews>
    <sheetView workbookViewId="0">
      <selection activeCell="B17" sqref="B17"/>
    </sheetView>
  </sheetViews>
  <sheetFormatPr baseColWidth="10" defaultRowHeight="16" x14ac:dyDescent="0.2"/>
  <cols>
    <col min="1" max="1" width="17.83203125" bestFit="1" customWidth="1"/>
    <col min="2" max="2" width="30.83203125" customWidth="1"/>
  </cols>
  <sheetData>
    <row r="1" spans="1:7" x14ac:dyDescent="0.2">
      <c r="A1" t="s">
        <v>10</v>
      </c>
      <c r="B1" t="s">
        <v>11</v>
      </c>
      <c r="C1" t="s">
        <v>15</v>
      </c>
    </row>
    <row r="2" spans="1:7" x14ac:dyDescent="0.2">
      <c r="A2" s="3">
        <v>45895</v>
      </c>
      <c r="B2" t="s">
        <v>12</v>
      </c>
      <c r="C2" t="s">
        <v>0</v>
      </c>
      <c r="G2" s="2"/>
    </row>
    <row r="3" spans="1:7" x14ac:dyDescent="0.2">
      <c r="A3" s="3">
        <v>45902</v>
      </c>
      <c r="B3" t="s">
        <v>12</v>
      </c>
      <c r="C3" t="s">
        <v>1</v>
      </c>
      <c r="G3" s="2"/>
    </row>
    <row r="4" spans="1:7" x14ac:dyDescent="0.2">
      <c r="A4" s="3">
        <v>45909</v>
      </c>
      <c r="B4" t="s">
        <v>16</v>
      </c>
      <c r="C4" t="s">
        <v>2</v>
      </c>
      <c r="G4" s="2"/>
    </row>
    <row r="5" spans="1:7" x14ac:dyDescent="0.2">
      <c r="A5" s="3">
        <v>45916</v>
      </c>
      <c r="B5" t="s">
        <v>16</v>
      </c>
      <c r="C5" t="s">
        <v>24</v>
      </c>
      <c r="G5" s="2"/>
    </row>
    <row r="6" spans="1:7" x14ac:dyDescent="0.2">
      <c r="A6" s="3">
        <v>45923</v>
      </c>
      <c r="B6" t="s">
        <v>16</v>
      </c>
      <c r="C6" t="s">
        <v>17</v>
      </c>
      <c r="G6" s="2"/>
    </row>
    <row r="7" spans="1:7" x14ac:dyDescent="0.2">
      <c r="A7" s="3">
        <v>45930</v>
      </c>
      <c r="B7" t="s">
        <v>16</v>
      </c>
      <c r="C7" t="s">
        <v>18</v>
      </c>
      <c r="G7" s="2"/>
    </row>
    <row r="8" spans="1:7" x14ac:dyDescent="0.2">
      <c r="A8" s="3">
        <v>45937</v>
      </c>
      <c r="B8" t="s">
        <v>13</v>
      </c>
      <c r="C8" t="s">
        <v>3</v>
      </c>
      <c r="G8" s="2"/>
    </row>
    <row r="9" spans="1:7" x14ac:dyDescent="0.2">
      <c r="A9" s="3">
        <v>45944</v>
      </c>
      <c r="B9" t="s">
        <v>13</v>
      </c>
      <c r="C9" t="s">
        <v>4</v>
      </c>
      <c r="G9" s="2"/>
    </row>
    <row r="10" spans="1:7" x14ac:dyDescent="0.2">
      <c r="A10" s="3">
        <v>45951</v>
      </c>
      <c r="B10" t="s">
        <v>53</v>
      </c>
      <c r="C10" t="s">
        <v>54</v>
      </c>
      <c r="G10" s="2"/>
    </row>
    <row r="11" spans="1:7" x14ac:dyDescent="0.2">
      <c r="A11" s="3">
        <v>45958</v>
      </c>
      <c r="B11" t="s">
        <v>13</v>
      </c>
      <c r="C11" t="s">
        <v>5</v>
      </c>
      <c r="G11" s="2"/>
    </row>
    <row r="12" spans="1:7" x14ac:dyDescent="0.2">
      <c r="A12" s="3">
        <v>45965</v>
      </c>
      <c r="B12" t="s">
        <v>14</v>
      </c>
      <c r="C12" t="s">
        <v>6</v>
      </c>
      <c r="G12" s="2"/>
    </row>
    <row r="13" spans="1:7" x14ac:dyDescent="0.2">
      <c r="A13" s="3">
        <v>45972</v>
      </c>
      <c r="B13" t="s">
        <v>50</v>
      </c>
      <c r="C13" s="4" t="s">
        <v>51</v>
      </c>
      <c r="G13" s="1"/>
    </row>
    <row r="14" spans="1:7" x14ac:dyDescent="0.2">
      <c r="A14" s="3">
        <v>45979</v>
      </c>
      <c r="B14" t="s">
        <v>14</v>
      </c>
      <c r="C14" t="s">
        <v>7</v>
      </c>
      <c r="G14" s="2"/>
    </row>
    <row r="15" spans="1:7" x14ac:dyDescent="0.2">
      <c r="A15" s="3">
        <v>45986</v>
      </c>
      <c r="B15" t="s">
        <v>14</v>
      </c>
      <c r="C15" t="s">
        <v>56</v>
      </c>
      <c r="G15" s="2"/>
    </row>
    <row r="16" spans="1:7" x14ac:dyDescent="0.2">
      <c r="A16" s="3">
        <v>45993</v>
      </c>
      <c r="B16" t="s">
        <v>14</v>
      </c>
      <c r="C16" t="s">
        <v>47</v>
      </c>
      <c r="G16" s="2"/>
    </row>
    <row r="17" spans="1:7" x14ac:dyDescent="0.2">
      <c r="A17" s="3">
        <v>46000</v>
      </c>
      <c r="B17" t="s">
        <v>53</v>
      </c>
      <c r="C17" t="s">
        <v>55</v>
      </c>
      <c r="G17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222E7-34D9-A648-B0D9-7893E36781B6}">
  <dimension ref="A1:B9"/>
  <sheetViews>
    <sheetView workbookViewId="0">
      <selection activeCell="B7" sqref="B7"/>
    </sheetView>
  </sheetViews>
  <sheetFormatPr baseColWidth="10" defaultRowHeight="16" x14ac:dyDescent="0.2"/>
  <cols>
    <col min="1" max="1" width="26.33203125" bestFit="1" customWidth="1"/>
    <col min="2" max="2" width="24.1640625" bestFit="1" customWidth="1"/>
    <col min="3" max="3" width="22.1640625" bestFit="1" customWidth="1"/>
  </cols>
  <sheetData>
    <row r="1" spans="1:2" x14ac:dyDescent="0.2">
      <c r="A1" t="s">
        <v>26</v>
      </c>
      <c r="B1" t="s">
        <v>25</v>
      </c>
    </row>
    <row r="2" spans="1:2" x14ac:dyDescent="0.2">
      <c r="A2" t="s">
        <v>33</v>
      </c>
      <c r="B2" t="s">
        <v>34</v>
      </c>
    </row>
    <row r="3" spans="1:2" x14ac:dyDescent="0.2">
      <c r="A3" t="s">
        <v>42</v>
      </c>
      <c r="B3" t="s">
        <v>43</v>
      </c>
    </row>
    <row r="4" spans="1:2" x14ac:dyDescent="0.2">
      <c r="A4" t="s">
        <v>27</v>
      </c>
      <c r="B4" t="s">
        <v>41</v>
      </c>
    </row>
    <row r="5" spans="1:2" x14ac:dyDescent="0.2">
      <c r="A5" t="s">
        <v>28</v>
      </c>
      <c r="B5" t="s">
        <v>44</v>
      </c>
    </row>
    <row r="6" spans="1:2" x14ac:dyDescent="0.2">
      <c r="A6" t="s">
        <v>29</v>
      </c>
      <c r="B6" t="s">
        <v>45</v>
      </c>
    </row>
    <row r="7" spans="1:2" x14ac:dyDescent="0.2">
      <c r="A7" t="s">
        <v>30</v>
      </c>
      <c r="B7" t="s">
        <v>48</v>
      </c>
    </row>
    <row r="8" spans="1:2" x14ac:dyDescent="0.2">
      <c r="A8" t="s">
        <v>31</v>
      </c>
      <c r="B8" t="s">
        <v>46</v>
      </c>
    </row>
    <row r="9" spans="1:2" x14ac:dyDescent="0.2">
      <c r="A9" t="s">
        <v>32</v>
      </c>
      <c r="B9" t="s">
        <v>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7002E-0E54-7A4A-93D0-B7490C5E682B}">
  <dimension ref="A1:G17"/>
  <sheetViews>
    <sheetView workbookViewId="0">
      <selection activeCell="A2" sqref="A2:A17"/>
    </sheetView>
  </sheetViews>
  <sheetFormatPr baseColWidth="10" defaultRowHeight="16" x14ac:dyDescent="0.2"/>
  <cols>
    <col min="1" max="1" width="17.83203125" bestFit="1" customWidth="1"/>
    <col min="2" max="2" width="24.83203125" bestFit="1" customWidth="1"/>
  </cols>
  <sheetData>
    <row r="1" spans="1:7" x14ac:dyDescent="0.2">
      <c r="A1" t="s">
        <v>10</v>
      </c>
      <c r="B1" t="s">
        <v>11</v>
      </c>
      <c r="C1" t="s">
        <v>15</v>
      </c>
    </row>
    <row r="2" spans="1:7" x14ac:dyDescent="0.2">
      <c r="A2" s="3">
        <v>45524</v>
      </c>
      <c r="B2" t="s">
        <v>12</v>
      </c>
      <c r="C2" t="s">
        <v>0</v>
      </c>
      <c r="G2" s="2"/>
    </row>
    <row r="3" spans="1:7" x14ac:dyDescent="0.2">
      <c r="A3" s="3">
        <v>45531</v>
      </c>
      <c r="B3" t="s">
        <v>12</v>
      </c>
      <c r="C3" t="s">
        <v>1</v>
      </c>
      <c r="G3" s="2"/>
    </row>
    <row r="4" spans="1:7" x14ac:dyDescent="0.2">
      <c r="A4" s="3">
        <v>45538</v>
      </c>
      <c r="B4" t="s">
        <v>16</v>
      </c>
      <c r="C4" t="s">
        <v>2</v>
      </c>
      <c r="G4" s="2"/>
    </row>
    <row r="5" spans="1:7" x14ac:dyDescent="0.2">
      <c r="A5" s="3">
        <v>45545</v>
      </c>
      <c r="B5" t="s">
        <v>16</v>
      </c>
      <c r="C5" t="s">
        <v>24</v>
      </c>
      <c r="G5" s="2"/>
    </row>
    <row r="6" spans="1:7" x14ac:dyDescent="0.2">
      <c r="A6" s="3">
        <v>45552</v>
      </c>
      <c r="B6" t="s">
        <v>16</v>
      </c>
      <c r="C6" t="s">
        <v>17</v>
      </c>
      <c r="G6" s="2"/>
    </row>
    <row r="7" spans="1:7" x14ac:dyDescent="0.2">
      <c r="A7" s="3">
        <v>45559</v>
      </c>
      <c r="B7" t="s">
        <v>16</v>
      </c>
      <c r="C7" t="s">
        <v>18</v>
      </c>
      <c r="G7" s="2"/>
    </row>
    <row r="8" spans="1:7" x14ac:dyDescent="0.2">
      <c r="A8" s="3">
        <v>45566</v>
      </c>
      <c r="B8" t="s">
        <v>13</v>
      </c>
      <c r="C8" t="s">
        <v>3</v>
      </c>
      <c r="G8" s="2"/>
    </row>
    <row r="9" spans="1:7" x14ac:dyDescent="0.2">
      <c r="A9" s="3">
        <v>45573</v>
      </c>
      <c r="B9" t="s">
        <v>13</v>
      </c>
      <c r="C9" t="s">
        <v>4</v>
      </c>
      <c r="G9" s="2"/>
    </row>
    <row r="10" spans="1:7" x14ac:dyDescent="0.2">
      <c r="A10" s="3">
        <v>45580</v>
      </c>
      <c r="B10" t="s">
        <v>19</v>
      </c>
      <c r="C10" t="s">
        <v>19</v>
      </c>
      <c r="G10" s="2"/>
    </row>
    <row r="11" spans="1:7" x14ac:dyDescent="0.2">
      <c r="A11" s="3">
        <v>45587</v>
      </c>
      <c r="B11" t="s">
        <v>13</v>
      </c>
      <c r="C11" t="s">
        <v>5</v>
      </c>
      <c r="G11" s="2"/>
    </row>
    <row r="12" spans="1:7" x14ac:dyDescent="0.2">
      <c r="A12" s="3">
        <v>45594</v>
      </c>
      <c r="B12" t="s">
        <v>14</v>
      </c>
      <c r="C12" t="s">
        <v>6</v>
      </c>
      <c r="G12" s="2"/>
    </row>
    <row r="13" spans="1:7" x14ac:dyDescent="0.2">
      <c r="A13" s="3">
        <v>45601</v>
      </c>
      <c r="B13" t="s">
        <v>14</v>
      </c>
      <c r="C13" t="s">
        <v>20</v>
      </c>
      <c r="G13" s="1"/>
    </row>
    <row r="14" spans="1:7" x14ac:dyDescent="0.2">
      <c r="A14" s="3">
        <v>45608</v>
      </c>
      <c r="B14" t="s">
        <v>14</v>
      </c>
      <c r="C14" t="s">
        <v>7</v>
      </c>
      <c r="G14" s="2"/>
    </row>
    <row r="15" spans="1:7" x14ac:dyDescent="0.2">
      <c r="A15" s="3">
        <v>45615</v>
      </c>
      <c r="B15" t="s">
        <v>14</v>
      </c>
      <c r="C15" t="s">
        <v>21</v>
      </c>
      <c r="G15" s="2"/>
    </row>
    <row r="16" spans="1:7" x14ac:dyDescent="0.2">
      <c r="A16" s="3">
        <v>45622</v>
      </c>
      <c r="B16" t="s">
        <v>22</v>
      </c>
      <c r="C16" t="s">
        <v>23</v>
      </c>
      <c r="G16" s="2"/>
    </row>
    <row r="17" spans="1:7" x14ac:dyDescent="0.2">
      <c r="A17" s="3">
        <v>45629</v>
      </c>
      <c r="B17" t="s">
        <v>14</v>
      </c>
      <c r="C17" t="s">
        <v>8</v>
      </c>
      <c r="G17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6305A-7A3D-E944-958B-BA084CA13D72}">
  <dimension ref="A1:B8"/>
  <sheetViews>
    <sheetView topLeftCell="A2" workbookViewId="0">
      <selection activeCell="B5" sqref="B5"/>
    </sheetView>
  </sheetViews>
  <sheetFormatPr baseColWidth="10" defaultRowHeight="16" x14ac:dyDescent="0.2"/>
  <cols>
    <col min="1" max="1" width="26.33203125" bestFit="1" customWidth="1"/>
    <col min="2" max="2" width="24.1640625" bestFit="1" customWidth="1"/>
    <col min="3" max="3" width="22.1640625" bestFit="1" customWidth="1"/>
  </cols>
  <sheetData>
    <row r="1" spans="1:2" x14ac:dyDescent="0.2">
      <c r="A1" t="s">
        <v>26</v>
      </c>
      <c r="B1" t="s">
        <v>25</v>
      </c>
    </row>
    <row r="2" spans="1:2" x14ac:dyDescent="0.2">
      <c r="A2" t="s">
        <v>33</v>
      </c>
      <c r="B2" t="s">
        <v>34</v>
      </c>
    </row>
    <row r="3" spans="1:2" x14ac:dyDescent="0.2">
      <c r="A3" t="s">
        <v>27</v>
      </c>
      <c r="B3" t="s">
        <v>35</v>
      </c>
    </row>
    <row r="4" spans="1:2" x14ac:dyDescent="0.2">
      <c r="A4" t="s">
        <v>28</v>
      </c>
      <c r="B4" t="s">
        <v>36</v>
      </c>
    </row>
    <row r="5" spans="1:2" x14ac:dyDescent="0.2">
      <c r="A5" t="s">
        <v>29</v>
      </c>
      <c r="B5" t="s">
        <v>40</v>
      </c>
    </row>
    <row r="6" spans="1:2" x14ac:dyDescent="0.2">
      <c r="A6" t="s">
        <v>30</v>
      </c>
      <c r="B6" t="s">
        <v>37</v>
      </c>
    </row>
    <row r="7" spans="1:2" x14ac:dyDescent="0.2">
      <c r="A7" t="s">
        <v>31</v>
      </c>
      <c r="B7" t="s">
        <v>38</v>
      </c>
    </row>
    <row r="8" spans="1:2" x14ac:dyDescent="0.2">
      <c r="A8" t="s">
        <v>32</v>
      </c>
      <c r="B8" t="s">
        <v>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C0B77-377C-2E43-B142-D9BC271E0496}">
  <dimension ref="A1:C17"/>
  <sheetViews>
    <sheetView workbookViewId="0">
      <selection activeCell="E32" sqref="E32"/>
    </sheetView>
  </sheetViews>
  <sheetFormatPr baseColWidth="10" defaultRowHeight="16" x14ac:dyDescent="0.2"/>
  <cols>
    <col min="1" max="1" width="13" customWidth="1"/>
    <col min="2" max="2" width="24.83203125" bestFit="1" customWidth="1"/>
  </cols>
  <sheetData>
    <row r="1" spans="1:3" x14ac:dyDescent="0.2">
      <c r="A1" t="s">
        <v>10</v>
      </c>
      <c r="B1" t="s">
        <v>11</v>
      </c>
      <c r="C1" t="s">
        <v>15</v>
      </c>
    </row>
    <row r="2" spans="1:3" x14ac:dyDescent="0.2">
      <c r="A2" s="1">
        <v>45160</v>
      </c>
      <c r="B2" t="s">
        <v>12</v>
      </c>
      <c r="C2" t="s">
        <v>0</v>
      </c>
    </row>
    <row r="3" spans="1:3" x14ac:dyDescent="0.2">
      <c r="A3" s="1">
        <v>45167</v>
      </c>
      <c r="B3" t="s">
        <v>12</v>
      </c>
      <c r="C3" t="s">
        <v>1</v>
      </c>
    </row>
    <row r="4" spans="1:3" x14ac:dyDescent="0.2">
      <c r="A4" s="1">
        <v>45174</v>
      </c>
      <c r="B4" t="s">
        <v>16</v>
      </c>
      <c r="C4" t="s">
        <v>2</v>
      </c>
    </row>
    <row r="5" spans="1:3" x14ac:dyDescent="0.2">
      <c r="A5" s="1">
        <v>45181</v>
      </c>
      <c r="B5" t="s">
        <v>16</v>
      </c>
      <c r="C5" t="s">
        <v>24</v>
      </c>
    </row>
    <row r="6" spans="1:3" x14ac:dyDescent="0.2">
      <c r="A6" s="1">
        <v>45188</v>
      </c>
      <c r="B6" t="s">
        <v>16</v>
      </c>
      <c r="C6" t="s">
        <v>17</v>
      </c>
    </row>
    <row r="7" spans="1:3" x14ac:dyDescent="0.2">
      <c r="A7" s="1">
        <v>45195</v>
      </c>
      <c r="B7" t="s">
        <v>16</v>
      </c>
      <c r="C7" t="s">
        <v>18</v>
      </c>
    </row>
    <row r="8" spans="1:3" x14ac:dyDescent="0.2">
      <c r="A8" s="1">
        <v>45202</v>
      </c>
      <c r="B8" t="s">
        <v>13</v>
      </c>
      <c r="C8" t="s">
        <v>3</v>
      </c>
    </row>
    <row r="9" spans="1:3" x14ac:dyDescent="0.2">
      <c r="A9" s="1">
        <v>45209</v>
      </c>
      <c r="B9" t="s">
        <v>13</v>
      </c>
      <c r="C9" t="s">
        <v>4</v>
      </c>
    </row>
    <row r="10" spans="1:3" x14ac:dyDescent="0.2">
      <c r="A10" s="1">
        <v>45216</v>
      </c>
      <c r="B10" t="s">
        <v>19</v>
      </c>
      <c r="C10" t="s">
        <v>19</v>
      </c>
    </row>
    <row r="11" spans="1:3" x14ac:dyDescent="0.2">
      <c r="A11" s="1">
        <v>45223</v>
      </c>
      <c r="B11" t="s">
        <v>13</v>
      </c>
      <c r="C11" t="s">
        <v>5</v>
      </c>
    </row>
    <row r="12" spans="1:3" x14ac:dyDescent="0.2">
      <c r="A12" s="1">
        <v>45230</v>
      </c>
      <c r="B12" t="s">
        <v>14</v>
      </c>
      <c r="C12" t="s">
        <v>6</v>
      </c>
    </row>
    <row r="13" spans="1:3" x14ac:dyDescent="0.2">
      <c r="A13" s="1">
        <v>45237</v>
      </c>
      <c r="B13" t="s">
        <v>14</v>
      </c>
      <c r="C13" t="s">
        <v>20</v>
      </c>
    </row>
    <row r="14" spans="1:3" x14ac:dyDescent="0.2">
      <c r="A14" s="1">
        <v>45244</v>
      </c>
      <c r="B14" t="s">
        <v>14</v>
      </c>
      <c r="C14" t="s">
        <v>7</v>
      </c>
    </row>
    <row r="15" spans="1:3" x14ac:dyDescent="0.2">
      <c r="A15" s="1">
        <v>45251</v>
      </c>
      <c r="B15" t="s">
        <v>22</v>
      </c>
      <c r="C15" t="s">
        <v>23</v>
      </c>
    </row>
    <row r="16" spans="1:3" x14ac:dyDescent="0.2">
      <c r="A16" s="1">
        <v>45258</v>
      </c>
      <c r="B16" t="s">
        <v>14</v>
      </c>
      <c r="C16" t="s">
        <v>21</v>
      </c>
    </row>
    <row r="17" spans="1:3" x14ac:dyDescent="0.2">
      <c r="A17" s="1">
        <v>45265</v>
      </c>
      <c r="B17" t="s">
        <v>14</v>
      </c>
      <c r="C17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04950-6619-024D-BFE6-3D795EC0E695}">
  <dimension ref="A1:B7"/>
  <sheetViews>
    <sheetView workbookViewId="0">
      <selection activeCell="B8" sqref="B8"/>
    </sheetView>
  </sheetViews>
  <sheetFormatPr baseColWidth="10" defaultRowHeight="16" x14ac:dyDescent="0.2"/>
  <cols>
    <col min="1" max="1" width="26.33203125" bestFit="1" customWidth="1"/>
  </cols>
  <sheetData>
    <row r="1" spans="1:2" x14ac:dyDescent="0.2">
      <c r="A1" t="s">
        <v>26</v>
      </c>
      <c r="B1" t="s">
        <v>25</v>
      </c>
    </row>
    <row r="2" spans="1:2" x14ac:dyDescent="0.2">
      <c r="A2" t="s">
        <v>27</v>
      </c>
      <c r="B2" s="2">
        <v>45166</v>
      </c>
    </row>
    <row r="3" spans="1:2" x14ac:dyDescent="0.2">
      <c r="A3" t="s">
        <v>28</v>
      </c>
      <c r="B3" s="2">
        <v>45202</v>
      </c>
    </row>
    <row r="4" spans="1:2" x14ac:dyDescent="0.2">
      <c r="A4" t="s">
        <v>29</v>
      </c>
      <c r="B4" s="2">
        <v>45230</v>
      </c>
    </row>
    <row r="5" spans="1:2" x14ac:dyDescent="0.2">
      <c r="A5" t="s">
        <v>30</v>
      </c>
      <c r="B5" s="2">
        <v>45265</v>
      </c>
    </row>
    <row r="6" spans="1:2" x14ac:dyDescent="0.2">
      <c r="A6" t="s">
        <v>31</v>
      </c>
      <c r="B6" s="2">
        <v>45237</v>
      </c>
    </row>
    <row r="7" spans="1:2" x14ac:dyDescent="0.2">
      <c r="A7" t="s">
        <v>32</v>
      </c>
      <c r="B7" s="2">
        <v>45265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Schedule</vt:lpstr>
      <vt:lpstr>Schedule_date_2026</vt:lpstr>
      <vt:lpstr>module_due_dates_2026</vt:lpstr>
      <vt:lpstr>Schedule_date_2025</vt:lpstr>
      <vt:lpstr>module_due_dates_2025</vt:lpstr>
      <vt:lpstr>Schedule_date_2024</vt:lpstr>
      <vt:lpstr>module_due_dates_2024</vt:lpstr>
      <vt:lpstr>Schedule_date_2023</vt:lpstr>
      <vt:lpstr>module_due_dates_2023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Cooperstone, Jessica</cp:lastModifiedBy>
  <dcterms:created xsi:type="dcterms:W3CDTF">2022-04-09T22:16:24Z</dcterms:created>
  <dcterms:modified xsi:type="dcterms:W3CDTF">2026-10-26T14:30:52Z</dcterms:modified>
</cp:coreProperties>
</file>